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9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<sst xmlns="http://schemas.openxmlformats.org/spreadsheetml/2006/main" count="38" uniqueCount="37">
  <si>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 xml:space="preserve">Part number </t>
  </si>
  <si>
    <t xml:space="preserve">Description </t>
  </si>
  <si>
    <t xml:space="preserve">Manufacturer </t>
  </si>
  <si>
    <t>Package</t>
  </si>
  <si>
    <t>Designator</t>
  </si>
  <si>
    <t xml:space="preserve">Quanity </t>
  </si>
  <si>
    <t>Price (vnd)</t>
  </si>
  <si>
    <t xml:space="preserve">Whole Price </t>
  </si>
  <si>
    <t>URL</t>
  </si>
  <si>
    <t>Total</t>
  </si>
  <si>
    <t>Each Person</t>
  </si>
  <si>
    <t>ATmega128 breakdown board</t>
  </si>
  <si>
    <t>2nd hand</t>
  </si>
  <si>
    <t>CP2102</t>
  </si>
  <si>
    <t>USB To TTL UART</t>
  </si>
  <si>
    <t>USBISP 51 AVR</t>
  </si>
  <si>
    <t xml:space="preserve">Programmer </t>
  </si>
  <si>
    <t xml:space="preserve">Breadboard </t>
  </si>
  <si>
    <t xml:space="preserve">Jumper </t>
  </si>
  <si>
    <t>LCD 20x4</t>
  </si>
  <si>
    <t>7 segments LED</t>
  </si>
  <si>
    <t>buttons</t>
  </si>
  <si>
    <t>RELAY</t>
  </si>
  <si>
    <t>SN74LS08N</t>
  </si>
  <si>
    <t>AND gate</t>
  </si>
  <si>
    <t>SN74HC573N</t>
  </si>
  <si>
    <t>D-type latch</t>
  </si>
  <si>
    <t>SN74HC138N</t>
  </si>
  <si>
    <t>Decoder 3-8</t>
  </si>
  <si>
    <t>HEF4001BP632</t>
  </si>
  <si>
    <t>NOR gate</t>
  </si>
  <si>
    <t>SN74HC139N</t>
  </si>
  <si>
    <t>CD4075BE</t>
  </si>
  <si>
    <t>OR gate</t>
  </si>
  <si>
    <t>P2N2222A</t>
  </si>
  <si>
    <t>transistor</t>
  </si>
  <si>
    <t>https://www.thegioiic.com/p2n2222a-transistor-npn-40v-0-6a-3-chan-to-92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</si>
</sst>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6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egioiic.com/p2n2222a-transistor-npn-40v-0-6a-3-chan-to-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I1" sqref="I1"/>
    </sheetView>
  </sheetViews>
  <sheetFormatPr defaultColWidth="9.14285714285714" defaultRowHeight="15"/>
  <cols>
    <col min="1" max="1" width="50.7142857142857" customWidth="1"/>
    <col min="2" max="2" width="35.1428571428571" customWidth="1"/>
    <col min="3" max="3" width="16.4285714285714" customWidth="1"/>
    <col min="4" max="4" width="35.5714285714286" customWidth="1"/>
    <col min="5" max="5" width="37.1428571428571" customWidth="1"/>
    <col min="6" max="6" width="36.5714285714286" customWidth="1"/>
    <col min="7" max="7" width="25" customWidth="1"/>
    <col min="8" max="8" width="23.8571428571429" customWidth="1"/>
    <col min="9" max="9" width="65" customWidth="1"/>
    <col min="11" max="11" width="13.8571428571429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11</v>
      </c>
      <c r="B2" t="s">
        <v>12</v>
      </c>
      <c r="F2">
        <v>1</v>
      </c>
      <c r="G2">
        <v>280</v>
      </c>
      <c r="H2">
        <f>F2*G2</f>
        <v>280</v>
      </c>
      <c r="J2">
        <f>SUM(H:H)</f>
        <v>715</v>
      </c>
    </row>
    <row r="3" spans="1:11">
      <c r="A3" t="s">
        <v>13</v>
      </c>
      <c r="B3" t="s">
        <v>14</v>
      </c>
      <c r="F3">
        <v>1</v>
      </c>
      <c r="G3">
        <v>80</v>
      </c>
      <c r="H3">
        <f>F3*G3</f>
        <v>80</v>
      </c>
      <c r="I3" s="4"/>
    </row>
    <row r="4" spans="1:11">
      <c r="A4" t="s">
        <v>15</v>
      </c>
      <c r="B4" t="s">
        <v>16</v>
      </c>
      <c r="F4">
        <v>1</v>
      </c>
      <c r="G4">
        <v>100</v>
      </c>
      <c r="H4">
        <f>F4*G4</f>
        <v>100</v>
      </c>
    </row>
    <row r="5" s="2" customFormat="1" spans="1:11">
      <c r="A5" s="2" t="s">
        <v>17</v>
      </c>
      <c r="F5" s="2">
        <v>6</v>
      </c>
      <c r="G5" s="2">
        <v>40</v>
      </c>
    </row>
    <row r="6" s="2" customFormat="1" spans="1:11">
      <c r="A6" s="2" t="s">
        <v>18</v>
      </c>
      <c r="F6" s="2">
        <v>1</v>
      </c>
      <c r="G6" s="2">
        <v>40</v>
      </c>
    </row>
    <row r="7" s="2" customFormat="1" spans="1:11">
      <c r="A7" s="2" t="s">
        <v>19</v>
      </c>
      <c r="F7" s="2">
        <v>1</v>
      </c>
      <c r="G7" s="2">
        <v>80</v>
      </c>
    </row>
    <row r="8" spans="1:11">
      <c r="A8" t="s">
        <v>20</v>
      </c>
      <c r="F8">
        <v>6</v>
      </c>
      <c r="G8">
        <v>6</v>
      </c>
      <c r="H8">
        <f>F8*G8</f>
        <v>36</v>
      </c>
    </row>
    <row r="9" spans="1:11">
      <c r="A9" t="s">
        <v>21</v>
      </c>
      <c r="F9">
        <v>10</v>
      </c>
      <c r="G9">
        <v>0.6</v>
      </c>
      <c r="H9">
        <f>F9*G9</f>
        <v>6</v>
      </c>
    </row>
    <row r="10" spans="1:11">
      <c r="A10" t="s">
        <v>22</v>
      </c>
      <c r="F10">
        <v>3</v>
      </c>
      <c r="G10">
        <v>14</v>
      </c>
      <c r="H10">
        <f>F10*G10</f>
        <v>42</v>
      </c>
    </row>
    <row r="12" spans="1:11">
      <c r="A12" t="s">
        <v>23</v>
      </c>
      <c r="B12" t="s">
        <v>24</v>
      </c>
      <c r="F12">
        <v>3</v>
      </c>
      <c r="G12">
        <v>3.4</v>
      </c>
      <c r="H12">
        <f t="shared" ref="H12:H17" si="0">F12*G12</f>
        <v>10.2</v>
      </c>
    </row>
    <row r="13" spans="1:11">
      <c r="A13" t="s">
        <v>25</v>
      </c>
      <c r="B13" t="s">
        <v>26</v>
      </c>
      <c r="F13">
        <v>4</v>
      </c>
      <c r="G13">
        <v>5.7</v>
      </c>
      <c r="H13">
        <f t="shared" si="0"/>
        <v>22.8</v>
      </c>
    </row>
    <row r="14" spans="1:11">
      <c r="A14" t="s">
        <v>27</v>
      </c>
      <c r="B14" t="s">
        <v>28</v>
      </c>
      <c r="F14">
        <v>3</v>
      </c>
      <c r="G14">
        <v>10</v>
      </c>
      <c r="H14">
        <f t="shared" si="0"/>
        <v>30</v>
      </c>
    </row>
    <row r="15" spans="1:11">
      <c r="A15" t="s">
        <v>29</v>
      </c>
      <c r="B15" t="s">
        <v>30</v>
      </c>
      <c r="F15">
        <v>3</v>
      </c>
      <c r="G15">
        <v>17</v>
      </c>
      <c r="H15">
        <f t="shared" si="0"/>
        <v>51</v>
      </c>
    </row>
    <row r="16" spans="1:11">
      <c r="A16" t="s">
        <v>31</v>
      </c>
      <c r="B16" t="s">
        <v>28</v>
      </c>
      <c r="F16">
        <v>3</v>
      </c>
      <c r="G16">
        <v>13</v>
      </c>
      <c r="H16">
        <f t="shared" si="0"/>
        <v>39</v>
      </c>
    </row>
    <row r="17" spans="1:9">
      <c r="A17" t="s">
        <v>32</v>
      </c>
      <c r="B17" t="s">
        <v>33</v>
      </c>
      <c r="F17">
        <v>2</v>
      </c>
      <c r="G17">
        <v>9</v>
      </c>
      <c r="H17">
        <f t="shared" si="0"/>
        <v>18</v>
      </c>
    </row>
    <row r="18" spans="1:9">
      <c r="A18" t="s">
        <v>34</v>
      </c>
      <c r="B18" t="s">
        <v>35</v>
      </c>
      <c r="H18" s="5"/>
      <c r="I18" s="4" t="s">
        <v>36</v>
      </c>
    </row>
    <row r="19" spans="1:9">
      <c r="H19" s="5"/>
    </row>
    <row r="20" spans="1:9">
      <c r="H20" s="5"/>
    </row>
    <row r="21" spans="1:9">
      <c r="H21" s="5"/>
    </row>
    <row r="22" spans="1:9">
      <c r="H22" s="5"/>
    </row>
    <row r="23" spans="1:9">
      <c r="H23" s="5"/>
    </row>
    <row r="24" spans="1:9">
      <c r="H24" s="5"/>
    </row>
  </sheetData>
  <hyperlinks>
    <hyperlink ref="I18" r:id="rId1" display="https://www.thegioiic.com/p2n2222a-transistor-npn-40v-0-6a-3-chan-to-9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</dc:creator>
  <cp:lastModifiedBy>03. Gia Bảo</cp:lastModifiedBy>
  <dcterms:created xsi:type="dcterms:W3CDTF">2026-10-06T11:45:00Z</dcterms:created>
  <dcterms:modified xsi:type="dcterms:W3CDTF">2026-10-09T01:18:17Z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6CFFE0F17F2742FA97891DB22FDBBAA5_11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